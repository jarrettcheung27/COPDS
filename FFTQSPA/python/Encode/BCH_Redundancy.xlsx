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P-main\Encode\"/>
    </mc:Choice>
  </mc:AlternateContent>
  <xr:revisionPtr revIDLastSave="0" documentId="13_ncr:1_{8E6D7D0C-7B15-4421-9ACF-5D339911854D}" xr6:coauthVersionLast="47" xr6:coauthVersionMax="47" xr10:uidLastSave="{00000000-0000-0000-0000-000000000000}"/>
  <bookViews>
    <workbookView xWindow="12645" yWindow="2175" windowWidth="15285" windowHeight="11295" activeTab="3" xr2:uid="{00000000-000D-0000-FFFF-FFFF00000000}"/>
  </bookViews>
  <sheets>
    <sheet name="r" sheetId="1" r:id="rId1"/>
    <sheet name="r = 92" sheetId="2" r:id="rId2"/>
    <sheet name="r=112" sheetId="3" r:id="rId3"/>
    <sheet name="r = 132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3" l="1"/>
  <c r="F46" i="3"/>
  <c r="E46" i="3"/>
  <c r="H46" i="3" s="1"/>
  <c r="E44" i="3"/>
  <c r="H44" i="3" s="1"/>
  <c r="G44" i="3"/>
  <c r="F44" i="3"/>
  <c r="E45" i="3"/>
  <c r="F45" i="3"/>
  <c r="G45" i="3"/>
  <c r="H45" i="3"/>
  <c r="D13" i="3"/>
  <c r="D12" i="3"/>
  <c r="D11" i="3"/>
  <c r="G41" i="3"/>
  <c r="F41" i="3"/>
  <c r="E41" i="3"/>
  <c r="H41" i="3" s="1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G40" i="3"/>
  <c r="G42" i="3"/>
  <c r="G43" i="3"/>
  <c r="F42" i="3"/>
  <c r="F43" i="3"/>
  <c r="E42" i="3"/>
  <c r="H42" i="3" s="1"/>
  <c r="E43" i="3"/>
  <c r="H43" i="3" s="1"/>
  <c r="F40" i="3"/>
  <c r="E40" i="3"/>
  <c r="H40" i="3" s="1"/>
  <c r="G39" i="3"/>
  <c r="F39" i="3"/>
  <c r="E39" i="3"/>
  <c r="H39" i="3" s="1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0" i="3"/>
  <c r="D9" i="3"/>
  <c r="D8" i="3"/>
  <c r="D7" i="3"/>
  <c r="D6" i="3"/>
  <c r="D5" i="3"/>
  <c r="D4" i="3"/>
  <c r="D3" i="3"/>
  <c r="D2" i="3"/>
  <c r="G37" i="2"/>
  <c r="G38" i="2"/>
  <c r="G39" i="2"/>
  <c r="G40" i="2"/>
  <c r="G41" i="2"/>
  <c r="G42" i="2"/>
  <c r="G43" i="2"/>
  <c r="G44" i="2"/>
  <c r="G36" i="2"/>
  <c r="F37" i="2"/>
  <c r="F38" i="2"/>
  <c r="F39" i="2"/>
  <c r="F40" i="2"/>
  <c r="F41" i="2"/>
  <c r="F42" i="2"/>
  <c r="F43" i="2"/>
  <c r="F44" i="2"/>
  <c r="F36" i="2"/>
  <c r="E26" i="1"/>
  <c r="E14" i="1"/>
  <c r="E15" i="1"/>
  <c r="E16" i="1"/>
  <c r="E17" i="1"/>
  <c r="E18" i="1"/>
  <c r="E19" i="1"/>
  <c r="E20" i="1"/>
  <c r="E21" i="1"/>
  <c r="E22" i="1"/>
  <c r="E23" i="1"/>
  <c r="E24" i="1"/>
  <c r="E25" i="1"/>
  <c r="E27" i="1"/>
  <c r="E28" i="1"/>
  <c r="E29" i="1"/>
  <c r="E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13" i="1"/>
  <c r="D27" i="2"/>
  <c r="E38" i="2"/>
  <c r="H38" i="2" s="1"/>
  <c r="E40" i="2"/>
  <c r="H40" i="2" s="1"/>
  <c r="D13" i="2"/>
  <c r="D14" i="2"/>
  <c r="D15" i="2"/>
  <c r="D16" i="2"/>
  <c r="D17" i="2"/>
  <c r="D18" i="2"/>
  <c r="D19" i="2"/>
  <c r="D12" i="2"/>
  <c r="D11" i="2"/>
  <c r="D32" i="2"/>
  <c r="D31" i="2"/>
  <c r="D20" i="2"/>
  <c r="D21" i="2"/>
  <c r="D22" i="2"/>
  <c r="D23" i="2"/>
  <c r="D24" i="2"/>
  <c r="D25" i="2"/>
  <c r="D26" i="2"/>
  <c r="D28" i="2"/>
  <c r="D29" i="2"/>
  <c r="D30" i="2"/>
  <c r="D5" i="2"/>
  <c r="D6" i="2"/>
  <c r="D7" i="2"/>
  <c r="D8" i="2"/>
  <c r="D9" i="2"/>
  <c r="D10" i="2"/>
  <c r="D3" i="2"/>
  <c r="D4" i="2"/>
  <c r="D2" i="2"/>
  <c r="E44" i="2"/>
  <c r="H44" i="2" s="1"/>
  <c r="E43" i="2"/>
  <c r="H43" i="2" s="1"/>
  <c r="E42" i="2"/>
  <c r="H42" i="2" s="1"/>
  <c r="E41" i="2"/>
  <c r="H41" i="2" s="1"/>
  <c r="E39" i="2"/>
  <c r="H39" i="2" s="1"/>
  <c r="E37" i="2"/>
  <c r="H37" i="2" s="1"/>
  <c r="E36" i="2"/>
  <c r="H36" i="2" s="1"/>
  <c r="F28" i="1"/>
  <c r="C14" i="1"/>
  <c r="F14" i="1" s="1"/>
  <c r="C15" i="1"/>
  <c r="C16" i="1"/>
  <c r="F16" i="1" s="1"/>
  <c r="C17" i="1"/>
  <c r="C18" i="1"/>
  <c r="F18" i="1" s="1"/>
  <c r="C19" i="1"/>
  <c r="F19" i="1" s="1"/>
  <c r="C20" i="1"/>
  <c r="C21" i="1"/>
  <c r="F21" i="1" s="1"/>
  <c r="C22" i="1"/>
  <c r="F22" i="1" s="1"/>
  <c r="C23" i="1"/>
  <c r="C24" i="1"/>
  <c r="F24" i="1" s="1"/>
  <c r="C25" i="1"/>
  <c r="C26" i="1"/>
  <c r="F26" i="1" s="1"/>
  <c r="C27" i="1"/>
  <c r="F27" i="1" s="1"/>
  <c r="C28" i="1"/>
  <c r="C29" i="1"/>
  <c r="F29" i="1" s="1"/>
  <c r="C13" i="1"/>
  <c r="F13" i="1" s="1"/>
  <c r="F25" i="1"/>
  <c r="F23" i="1"/>
  <c r="E7" i="1"/>
  <c r="F7" i="1"/>
  <c r="G7" i="1"/>
  <c r="H7" i="1"/>
  <c r="I7" i="1"/>
  <c r="J7" i="1"/>
  <c r="K7" i="1"/>
  <c r="D7" i="1"/>
  <c r="L7" i="1"/>
  <c r="M7" i="1"/>
  <c r="N7" i="1"/>
  <c r="O7" i="1"/>
  <c r="P7" i="1"/>
  <c r="Q7" i="1"/>
  <c r="S7" i="1"/>
  <c r="L2" i="1"/>
  <c r="N2" i="1"/>
  <c r="O2" i="1"/>
  <c r="P2" i="1"/>
  <c r="Q2" i="1"/>
  <c r="R2" i="1"/>
  <c r="S2" i="1"/>
  <c r="T2" i="1"/>
  <c r="G2" i="1"/>
  <c r="H2" i="1"/>
  <c r="J2" i="1"/>
  <c r="K2" i="1"/>
  <c r="F20" i="1"/>
  <c r="F15" i="1"/>
  <c r="F17" i="1"/>
  <c r="R7" i="1" l="1"/>
</calcChain>
</file>

<file path=xl/sharedStrings.xml><?xml version="1.0" encoding="utf-8"?>
<sst xmlns="http://schemas.openxmlformats.org/spreadsheetml/2006/main" count="51" uniqueCount="21">
  <si>
    <t>n1</t>
    <phoneticPr fontId="1" type="noConversion"/>
  </si>
  <si>
    <t>k1</t>
    <phoneticPr fontId="1" type="noConversion"/>
  </si>
  <si>
    <t>k2</t>
    <phoneticPr fontId="1" type="noConversion"/>
  </si>
  <si>
    <t>n2</t>
    <phoneticPr fontId="1" type="noConversion"/>
  </si>
  <si>
    <t>r1</t>
    <phoneticPr fontId="1" type="noConversion"/>
  </si>
  <si>
    <t>r2</t>
    <phoneticPr fontId="1" type="noConversion"/>
  </si>
  <si>
    <t>k1+k2</t>
    <phoneticPr fontId="1" type="noConversion"/>
  </si>
  <si>
    <t>total redundancy</t>
    <phoneticPr fontId="1" type="noConversion"/>
  </si>
  <si>
    <t>rate</t>
    <phoneticPr fontId="1" type="noConversion"/>
  </si>
  <si>
    <t>t</t>
    <phoneticPr fontId="1" type="noConversion"/>
  </si>
  <si>
    <t>m</t>
    <phoneticPr fontId="1" type="noConversion"/>
  </si>
  <si>
    <t xml:space="preserve"> </t>
    <phoneticPr fontId="1" type="noConversion"/>
  </si>
  <si>
    <t>n</t>
    <phoneticPr fontId="1" type="noConversion"/>
  </si>
  <si>
    <t>k</t>
    <phoneticPr fontId="1" type="noConversion"/>
  </si>
  <si>
    <t>r</t>
    <phoneticPr fontId="1" type="noConversion"/>
  </si>
  <si>
    <t>t1</t>
    <phoneticPr fontId="1" type="noConversion"/>
  </si>
  <si>
    <t>t2</t>
    <phoneticPr fontId="1" type="noConversion"/>
  </si>
  <si>
    <t>R_1</t>
    <phoneticPr fontId="1" type="noConversion"/>
  </si>
  <si>
    <t>R_2</t>
    <phoneticPr fontId="1" type="noConversion"/>
  </si>
  <si>
    <t>R_1</t>
    <phoneticPr fontId="1" type="noConversion"/>
  </si>
  <si>
    <t>R_2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</si>
</sst>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176" fontId="2" fillId="0" borderId="0" xfId="0" applyNumberFormat="1" applyFont="1"/>
    <xf numFmtId="176" fontId="0" fillId="0" borderId="0" xfId="0" applyNumberFormat="1"/>
    <xf numFmtId="176" fontId="3" fillId="0" borderId="0" xfId="0" applyNumberFormat="1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workbookViewId="0">
      <selection activeCell="J9" sqref="J9"/>
    </sheetView>
  </sheetViews>
  <sheetFormatPr defaultRowHeight="14.25" x14ac:dyDescent="0.2"/>
  <cols>
    <col min="4" max="4" width="9.875" bestFit="1" customWidth="1"/>
  </cols>
  <sheetData>
    <row r="1" spans="1:20" x14ac:dyDescent="0.2">
      <c r="A1" t="s">
        <v>1</v>
      </c>
      <c r="B1">
        <v>14</v>
      </c>
      <c r="C1" t="s">
        <v>0</v>
      </c>
      <c r="D1">
        <v>21</v>
      </c>
      <c r="E1">
        <v>26</v>
      </c>
      <c r="F1">
        <v>31</v>
      </c>
      <c r="G1">
        <v>34</v>
      </c>
      <c r="H1">
        <v>40</v>
      </c>
      <c r="I1">
        <v>49</v>
      </c>
      <c r="J1">
        <v>55</v>
      </c>
      <c r="K1">
        <v>61</v>
      </c>
      <c r="L1">
        <v>65</v>
      </c>
      <c r="M1">
        <v>72</v>
      </c>
      <c r="N1">
        <v>79</v>
      </c>
      <c r="O1">
        <v>86</v>
      </c>
      <c r="P1" t="s">
        <v>11</v>
      </c>
      <c r="Q1">
        <v>93</v>
      </c>
      <c r="R1">
        <v>100</v>
      </c>
    </row>
    <row r="2" spans="1:20" x14ac:dyDescent="0.2">
      <c r="C2" t="s">
        <v>4</v>
      </c>
      <c r="D2">
        <v>5</v>
      </c>
      <c r="E2">
        <v>10</v>
      </c>
      <c r="F2">
        <v>15</v>
      </c>
      <c r="G2">
        <f>G1-16</f>
        <v>18</v>
      </c>
      <c r="H2">
        <f>H1-16</f>
        <v>24</v>
      </c>
      <c r="I2">
        <v>33</v>
      </c>
      <c r="J2">
        <f>J1-16</f>
        <v>39</v>
      </c>
      <c r="K2">
        <f>K1-16</f>
        <v>45</v>
      </c>
      <c r="L2">
        <f>L1-16</f>
        <v>49</v>
      </c>
      <c r="M2">
        <v>56</v>
      </c>
      <c r="N2">
        <f t="shared" ref="N2:T2" si="0">N1-16</f>
        <v>63</v>
      </c>
      <c r="O2">
        <f t="shared" si="0"/>
        <v>70</v>
      </c>
      <c r="P2" t="e">
        <f t="shared" si="0"/>
        <v>#VALUE!</v>
      </c>
      <c r="Q2">
        <f t="shared" si="0"/>
        <v>77</v>
      </c>
      <c r="R2">
        <f t="shared" si="0"/>
        <v>84</v>
      </c>
      <c r="S2">
        <f t="shared" si="0"/>
        <v>-16</v>
      </c>
      <c r="T2">
        <f t="shared" si="0"/>
        <v>-16</v>
      </c>
    </row>
    <row r="3" spans="1:20" x14ac:dyDescent="0.2">
      <c r="C3" t="s">
        <v>10</v>
      </c>
      <c r="D3" s="9">
        <v>5</v>
      </c>
      <c r="E3" s="9"/>
      <c r="F3" s="9"/>
      <c r="G3" s="9">
        <v>6</v>
      </c>
      <c r="H3" s="9"/>
      <c r="I3" s="9"/>
      <c r="J3" s="9"/>
      <c r="K3" s="9"/>
      <c r="L3" s="9">
        <v>7</v>
      </c>
      <c r="M3" s="9"/>
      <c r="N3" s="9"/>
      <c r="O3" s="9"/>
      <c r="P3" s="9"/>
      <c r="Q3" s="9"/>
      <c r="R3" s="9"/>
      <c r="S3" s="9"/>
      <c r="T3" s="9"/>
    </row>
    <row r="4" spans="1:20" x14ac:dyDescent="0.2">
      <c r="C4" t="s">
        <v>9</v>
      </c>
      <c r="D4">
        <v>1</v>
      </c>
      <c r="E4">
        <v>2</v>
      </c>
      <c r="F4">
        <v>3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8</v>
      </c>
      <c r="N4">
        <v>9</v>
      </c>
      <c r="O4">
        <v>10</v>
      </c>
      <c r="P4">
        <v>11</v>
      </c>
      <c r="Q4">
        <v>12</v>
      </c>
      <c r="R4">
        <v>13</v>
      </c>
      <c r="S4">
        <v>14</v>
      </c>
      <c r="T4">
        <v>15</v>
      </c>
    </row>
    <row r="6" spans="1:20" x14ac:dyDescent="0.2">
      <c r="A6" t="s">
        <v>2</v>
      </c>
      <c r="B6">
        <v>320</v>
      </c>
      <c r="C6" t="s">
        <v>3</v>
      </c>
      <c r="D6">
        <v>374</v>
      </c>
      <c r="E6">
        <v>383</v>
      </c>
      <c r="F6">
        <v>392</v>
      </c>
      <c r="G6">
        <v>401</v>
      </c>
      <c r="H6">
        <v>410</v>
      </c>
      <c r="I6">
        <v>419</v>
      </c>
      <c r="J6">
        <v>428</v>
      </c>
      <c r="K6">
        <v>437</v>
      </c>
      <c r="L6">
        <v>446</v>
      </c>
      <c r="M6">
        <v>455</v>
      </c>
      <c r="N6">
        <v>464</v>
      </c>
      <c r="O6">
        <v>473</v>
      </c>
      <c r="P6">
        <v>482</v>
      </c>
      <c r="Q6">
        <v>491</v>
      </c>
      <c r="R6">
        <v>500</v>
      </c>
      <c r="S6">
        <v>509</v>
      </c>
      <c r="T6" t="s">
        <v>11</v>
      </c>
    </row>
    <row r="7" spans="1:20" x14ac:dyDescent="0.2">
      <c r="C7" t="s">
        <v>5</v>
      </c>
      <c r="D7">
        <f xml:space="preserve"> D6 -320</f>
        <v>54</v>
      </c>
      <c r="E7">
        <f t="shared" ref="E7:K7" si="1" xml:space="preserve"> E6 -320</f>
        <v>63</v>
      </c>
      <c r="F7">
        <f t="shared" si="1"/>
        <v>72</v>
      </c>
      <c r="G7">
        <f t="shared" si="1"/>
        <v>81</v>
      </c>
      <c r="H7">
        <f t="shared" si="1"/>
        <v>90</v>
      </c>
      <c r="I7">
        <f t="shared" si="1"/>
        <v>99</v>
      </c>
      <c r="J7">
        <f t="shared" si="1"/>
        <v>108</v>
      </c>
      <c r="K7">
        <f t="shared" si="1"/>
        <v>117</v>
      </c>
      <c r="L7">
        <f t="shared" ref="L7:S7" si="2" xml:space="preserve"> L6-320</f>
        <v>126</v>
      </c>
      <c r="M7">
        <f t="shared" si="2"/>
        <v>135</v>
      </c>
      <c r="N7">
        <f t="shared" si="2"/>
        <v>144</v>
      </c>
      <c r="O7">
        <f t="shared" si="2"/>
        <v>153</v>
      </c>
      <c r="P7">
        <f t="shared" si="2"/>
        <v>162</v>
      </c>
      <c r="Q7">
        <f t="shared" si="2"/>
        <v>171</v>
      </c>
      <c r="R7">
        <f t="shared" si="2"/>
        <v>180</v>
      </c>
      <c r="S7">
        <f t="shared" si="2"/>
        <v>189</v>
      </c>
      <c r="T7" t="s">
        <v>11</v>
      </c>
    </row>
    <row r="8" spans="1:20" x14ac:dyDescent="0.2">
      <c r="C8" t="s">
        <v>10</v>
      </c>
      <c r="D8" s="9">
        <v>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20" x14ac:dyDescent="0.2">
      <c r="C9" t="s">
        <v>9</v>
      </c>
      <c r="D9">
        <v>6</v>
      </c>
      <c r="E9">
        <v>7</v>
      </c>
      <c r="F9">
        <v>8</v>
      </c>
      <c r="G9">
        <v>9</v>
      </c>
      <c r="H9">
        <v>10</v>
      </c>
      <c r="I9">
        <v>11</v>
      </c>
      <c r="J9">
        <v>12</v>
      </c>
      <c r="K9">
        <v>13</v>
      </c>
      <c r="L9">
        <v>14</v>
      </c>
      <c r="M9">
        <v>15</v>
      </c>
      <c r="N9">
        <v>16</v>
      </c>
      <c r="O9">
        <v>17</v>
      </c>
      <c r="P9">
        <v>18</v>
      </c>
      <c r="Q9">
        <v>19</v>
      </c>
      <c r="R9">
        <v>20</v>
      </c>
      <c r="S9">
        <v>21</v>
      </c>
      <c r="T9" t="s">
        <v>11</v>
      </c>
    </row>
    <row r="10" spans="1:20" x14ac:dyDescent="0.2">
      <c r="A10" t="s">
        <v>6</v>
      </c>
      <c r="B10">
        <v>336</v>
      </c>
    </row>
    <row r="12" spans="1:20" x14ac:dyDescent="0.2">
      <c r="A12" t="s">
        <v>4</v>
      </c>
      <c r="B12" t="s">
        <v>5</v>
      </c>
      <c r="C12" t="s">
        <v>7</v>
      </c>
      <c r="D12" t="s">
        <v>17</v>
      </c>
      <c r="E12" t="s">
        <v>18</v>
      </c>
      <c r="F12" t="s">
        <v>8</v>
      </c>
    </row>
    <row r="13" spans="1:20" x14ac:dyDescent="0.2">
      <c r="A13" s="1">
        <v>5</v>
      </c>
      <c r="B13" s="1">
        <v>108</v>
      </c>
      <c r="C13" s="1">
        <f>A13+B13</f>
        <v>113</v>
      </c>
      <c r="D13" s="6">
        <f>14/(14+A13)</f>
        <v>0.73684210526315785</v>
      </c>
      <c r="E13" s="6">
        <f xml:space="preserve"> 320/(320+B13)</f>
        <v>0.74766355140186913</v>
      </c>
      <c r="F13" s="6">
        <f>336/(C13+336)</f>
        <v>0.74832962138084635</v>
      </c>
    </row>
    <row r="14" spans="1:20" x14ac:dyDescent="0.2">
      <c r="A14">
        <v>10</v>
      </c>
      <c r="B14">
        <v>99</v>
      </c>
      <c r="C14">
        <f t="shared" ref="C14:C29" si="3">A14+B14</f>
        <v>109</v>
      </c>
      <c r="D14" s="7">
        <f t="shared" ref="D14:D29" si="4">14/(14+A14)</f>
        <v>0.58333333333333337</v>
      </c>
      <c r="E14" s="7">
        <f t="shared" ref="E14:E29" si="5" xml:space="preserve"> 320/(320+B14)</f>
        <v>0.76372315035799521</v>
      </c>
      <c r="F14" s="7">
        <f>336/(C14+336)</f>
        <v>0.75505617977528094</v>
      </c>
    </row>
    <row r="15" spans="1:20" x14ac:dyDescent="0.2">
      <c r="A15" s="1">
        <v>15</v>
      </c>
      <c r="B15" s="1">
        <v>99</v>
      </c>
      <c r="C15" s="1">
        <f t="shared" si="3"/>
        <v>114</v>
      </c>
      <c r="D15" s="6">
        <f t="shared" si="4"/>
        <v>0.48275862068965519</v>
      </c>
      <c r="E15" s="6">
        <f t="shared" si="5"/>
        <v>0.76372315035799521</v>
      </c>
      <c r="F15" s="6">
        <f t="shared" ref="F15:F26" si="6">336/(C15+336)</f>
        <v>0.7466666666666667</v>
      </c>
    </row>
    <row r="16" spans="1:20" x14ac:dyDescent="0.2">
      <c r="A16">
        <v>18</v>
      </c>
      <c r="B16">
        <v>99</v>
      </c>
      <c r="C16">
        <f t="shared" si="3"/>
        <v>117</v>
      </c>
      <c r="D16" s="7">
        <f t="shared" si="4"/>
        <v>0.4375</v>
      </c>
      <c r="E16" s="7">
        <f t="shared" si="5"/>
        <v>0.76372315035799521</v>
      </c>
      <c r="F16" s="7">
        <f t="shared" si="6"/>
        <v>0.74172185430463577</v>
      </c>
    </row>
    <row r="17" spans="1:6" x14ac:dyDescent="0.2">
      <c r="A17">
        <v>24</v>
      </c>
      <c r="B17">
        <v>81</v>
      </c>
      <c r="C17">
        <f t="shared" si="3"/>
        <v>105</v>
      </c>
      <c r="D17" s="7">
        <f t="shared" si="4"/>
        <v>0.36842105263157893</v>
      </c>
      <c r="E17" s="7">
        <f t="shared" si="5"/>
        <v>0.79800498753117211</v>
      </c>
      <c r="F17" s="7">
        <f t="shared" si="6"/>
        <v>0.76190476190476186</v>
      </c>
    </row>
    <row r="18" spans="1:6" x14ac:dyDescent="0.2">
      <c r="A18" s="1">
        <v>33</v>
      </c>
      <c r="B18" s="1">
        <v>81</v>
      </c>
      <c r="C18" s="1">
        <f t="shared" si="3"/>
        <v>114</v>
      </c>
      <c r="D18" s="6">
        <f t="shared" si="4"/>
        <v>0.2978723404255319</v>
      </c>
      <c r="E18" s="6">
        <f t="shared" si="5"/>
        <v>0.79800498753117211</v>
      </c>
      <c r="F18" s="6">
        <f t="shared" si="6"/>
        <v>0.7466666666666667</v>
      </c>
    </row>
    <row r="19" spans="1:6" x14ac:dyDescent="0.2">
      <c r="A19">
        <v>39</v>
      </c>
      <c r="B19">
        <v>72</v>
      </c>
      <c r="C19">
        <f t="shared" si="3"/>
        <v>111</v>
      </c>
      <c r="D19" s="7">
        <f t="shared" si="4"/>
        <v>0.26415094339622641</v>
      </c>
      <c r="E19" s="7">
        <f t="shared" si="5"/>
        <v>0.81632653061224492</v>
      </c>
      <c r="F19" s="7">
        <f t="shared" si="6"/>
        <v>0.75167785234899331</v>
      </c>
    </row>
    <row r="20" spans="1:6" x14ac:dyDescent="0.2">
      <c r="A20">
        <v>45</v>
      </c>
      <c r="B20">
        <v>63</v>
      </c>
      <c r="C20">
        <f t="shared" si="3"/>
        <v>108</v>
      </c>
      <c r="D20" s="7">
        <f t="shared" si="4"/>
        <v>0.23728813559322035</v>
      </c>
      <c r="E20" s="7">
        <f t="shared" si="5"/>
        <v>0.835509138381201</v>
      </c>
      <c r="F20" s="7">
        <f t="shared" si="6"/>
        <v>0.7567567567567568</v>
      </c>
    </row>
    <row r="21" spans="1:6" x14ac:dyDescent="0.2">
      <c r="A21">
        <v>49</v>
      </c>
      <c r="B21">
        <v>63</v>
      </c>
      <c r="C21">
        <f t="shared" si="3"/>
        <v>112</v>
      </c>
      <c r="D21" s="7">
        <f t="shared" si="4"/>
        <v>0.22222222222222221</v>
      </c>
      <c r="E21" s="7">
        <f t="shared" si="5"/>
        <v>0.835509138381201</v>
      </c>
      <c r="F21" s="7">
        <f t="shared" si="6"/>
        <v>0.75</v>
      </c>
    </row>
    <row r="22" spans="1:6" x14ac:dyDescent="0.2">
      <c r="A22" s="1">
        <v>56</v>
      </c>
      <c r="B22" s="1">
        <v>54</v>
      </c>
      <c r="C22" s="1">
        <f t="shared" si="3"/>
        <v>110</v>
      </c>
      <c r="D22" s="6">
        <f t="shared" si="4"/>
        <v>0.2</v>
      </c>
      <c r="E22" s="6">
        <f t="shared" si="5"/>
        <v>0.85561497326203206</v>
      </c>
      <c r="F22" s="6">
        <f t="shared" si="6"/>
        <v>0.75336322869955152</v>
      </c>
    </row>
    <row r="23" spans="1:6" x14ac:dyDescent="0.2">
      <c r="A23">
        <v>63</v>
      </c>
      <c r="B23">
        <v>54</v>
      </c>
      <c r="C23">
        <f t="shared" si="3"/>
        <v>117</v>
      </c>
      <c r="D23" s="7">
        <f t="shared" si="4"/>
        <v>0.18181818181818182</v>
      </c>
      <c r="E23" s="7">
        <f t="shared" si="5"/>
        <v>0.85561497326203206</v>
      </c>
      <c r="F23" s="7">
        <f t="shared" si="6"/>
        <v>0.74172185430463577</v>
      </c>
    </row>
    <row r="24" spans="1:6" x14ac:dyDescent="0.2">
      <c r="A24">
        <v>70</v>
      </c>
      <c r="B24">
        <v>36</v>
      </c>
      <c r="C24">
        <f t="shared" si="3"/>
        <v>106</v>
      </c>
      <c r="D24" s="7">
        <f t="shared" si="4"/>
        <v>0.16666666666666666</v>
      </c>
      <c r="E24" s="7">
        <f t="shared" si="5"/>
        <v>0.898876404494382</v>
      </c>
      <c r="F24" s="7">
        <f t="shared" si="6"/>
        <v>0.76018099547511309</v>
      </c>
    </row>
    <row r="25" spans="1:6" x14ac:dyDescent="0.2">
      <c r="A25">
        <v>77</v>
      </c>
      <c r="B25">
        <v>27</v>
      </c>
      <c r="C25">
        <f t="shared" si="3"/>
        <v>104</v>
      </c>
      <c r="D25" s="7">
        <f t="shared" si="4"/>
        <v>0.15384615384615385</v>
      </c>
      <c r="E25" s="7">
        <f t="shared" si="5"/>
        <v>0.9221902017291066</v>
      </c>
      <c r="F25" s="7">
        <f t="shared" si="6"/>
        <v>0.76363636363636367</v>
      </c>
    </row>
    <row r="26" spans="1:6" x14ac:dyDescent="0.2">
      <c r="A26" s="1">
        <v>84</v>
      </c>
      <c r="B26" s="1">
        <v>27</v>
      </c>
      <c r="C26" s="1">
        <f t="shared" si="3"/>
        <v>111</v>
      </c>
      <c r="D26" s="6">
        <f t="shared" si="4"/>
        <v>0.14285714285714285</v>
      </c>
      <c r="E26" s="6">
        <f t="shared" si="5"/>
        <v>0.9221902017291066</v>
      </c>
      <c r="F26" s="6">
        <f t="shared" si="6"/>
        <v>0.75167785234899331</v>
      </c>
    </row>
    <row r="27" spans="1:6" x14ac:dyDescent="0.2">
      <c r="A27">
        <v>91</v>
      </c>
      <c r="B27">
        <v>18</v>
      </c>
      <c r="C27">
        <f t="shared" si="3"/>
        <v>109</v>
      </c>
      <c r="D27" s="7">
        <f t="shared" si="4"/>
        <v>0.13333333333333333</v>
      </c>
      <c r="E27" s="7">
        <f t="shared" si="5"/>
        <v>0.94674556213017746</v>
      </c>
      <c r="F27" s="7">
        <f>336/(C27+336)</f>
        <v>0.75505617977528094</v>
      </c>
    </row>
    <row r="28" spans="1:6" x14ac:dyDescent="0.2">
      <c r="A28">
        <v>98</v>
      </c>
      <c r="B28">
        <v>18</v>
      </c>
      <c r="C28">
        <f t="shared" si="3"/>
        <v>116</v>
      </c>
      <c r="D28" s="7">
        <f t="shared" si="4"/>
        <v>0.125</v>
      </c>
      <c r="E28" s="7">
        <f t="shared" si="5"/>
        <v>0.94674556213017746</v>
      </c>
      <c r="F28" s="7">
        <f>336/(C28+336)</f>
        <v>0.74336283185840712</v>
      </c>
    </row>
    <row r="29" spans="1:6" x14ac:dyDescent="0.2">
      <c r="A29">
        <v>105</v>
      </c>
      <c r="B29">
        <v>9</v>
      </c>
      <c r="C29">
        <f t="shared" si="3"/>
        <v>114</v>
      </c>
      <c r="D29" s="7">
        <f t="shared" si="4"/>
        <v>0.11764705882352941</v>
      </c>
      <c r="E29" s="7">
        <f t="shared" si="5"/>
        <v>0.97264437689969607</v>
      </c>
      <c r="F29" s="7">
        <f>336/(C29+336)</f>
        <v>0.7466666666666667</v>
      </c>
    </row>
  </sheetData>
  <mergeCells count="4">
    <mergeCell ref="D3:F3"/>
    <mergeCell ref="G3:K3"/>
    <mergeCell ref="D8:S8"/>
    <mergeCell ref="L3:T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AB47-DFEB-4B3C-A3C1-B33668051322}">
  <dimension ref="A1:H44"/>
  <sheetViews>
    <sheetView workbookViewId="0">
      <selection activeCell="F38" sqref="F38"/>
    </sheetView>
  </sheetViews>
  <sheetFormatPr defaultRowHeight="14.25" x14ac:dyDescent="0.2"/>
  <sheetData>
    <row r="1" spans="1:5" x14ac:dyDescent="0.2">
      <c r="A1" t="s">
        <v>10</v>
      </c>
      <c r="B1" t="s">
        <v>12</v>
      </c>
      <c r="C1" t="s">
        <v>13</v>
      </c>
      <c r="D1" t="s">
        <v>14</v>
      </c>
      <c r="E1" t="s">
        <v>9</v>
      </c>
    </row>
    <row r="2" spans="1:5" x14ac:dyDescent="0.2">
      <c r="A2">
        <v>5</v>
      </c>
      <c r="B2">
        <v>31</v>
      </c>
      <c r="C2">
        <v>26</v>
      </c>
      <c r="D2">
        <f>B2-C2</f>
        <v>5</v>
      </c>
      <c r="E2">
        <v>1</v>
      </c>
    </row>
    <row r="3" spans="1:5" x14ac:dyDescent="0.2">
      <c r="B3">
        <v>31</v>
      </c>
      <c r="C3">
        <v>21</v>
      </c>
      <c r="D3">
        <f t="shared" ref="D3:D32" si="0">B3-C3</f>
        <v>10</v>
      </c>
      <c r="E3">
        <v>2</v>
      </c>
    </row>
    <row r="4" spans="1:5" x14ac:dyDescent="0.2">
      <c r="B4">
        <v>31</v>
      </c>
      <c r="C4">
        <v>16</v>
      </c>
      <c r="D4">
        <f t="shared" si="0"/>
        <v>15</v>
      </c>
      <c r="E4">
        <v>3</v>
      </c>
    </row>
    <row r="5" spans="1:5" x14ac:dyDescent="0.2">
      <c r="A5">
        <v>6</v>
      </c>
      <c r="B5">
        <v>63</v>
      </c>
      <c r="C5">
        <v>39</v>
      </c>
      <c r="D5">
        <f t="shared" si="0"/>
        <v>24</v>
      </c>
      <c r="E5">
        <v>4</v>
      </c>
    </row>
    <row r="6" spans="1:5" x14ac:dyDescent="0.2">
      <c r="B6">
        <v>63</v>
      </c>
      <c r="C6">
        <v>36</v>
      </c>
      <c r="D6">
        <f t="shared" si="0"/>
        <v>27</v>
      </c>
      <c r="E6">
        <v>5</v>
      </c>
    </row>
    <row r="7" spans="1:5" x14ac:dyDescent="0.2">
      <c r="B7">
        <v>63</v>
      </c>
      <c r="C7">
        <v>30</v>
      </c>
      <c r="D7">
        <f t="shared" si="0"/>
        <v>33</v>
      </c>
      <c r="E7">
        <v>6</v>
      </c>
    </row>
    <row r="8" spans="1:5" x14ac:dyDescent="0.2">
      <c r="B8">
        <v>63</v>
      </c>
      <c r="C8">
        <v>24</v>
      </c>
      <c r="D8">
        <f t="shared" si="0"/>
        <v>39</v>
      </c>
      <c r="E8">
        <v>7</v>
      </c>
    </row>
    <row r="9" spans="1:5" x14ac:dyDescent="0.2">
      <c r="B9">
        <v>63</v>
      </c>
      <c r="C9">
        <v>18</v>
      </c>
      <c r="D9">
        <f t="shared" si="0"/>
        <v>45</v>
      </c>
      <c r="E9">
        <v>10</v>
      </c>
    </row>
    <row r="10" spans="1:5" x14ac:dyDescent="0.2">
      <c r="B10">
        <v>63</v>
      </c>
      <c r="C10">
        <v>16</v>
      </c>
      <c r="D10">
        <f t="shared" si="0"/>
        <v>47</v>
      </c>
      <c r="E10">
        <v>11</v>
      </c>
    </row>
    <row r="11" spans="1:5" x14ac:dyDescent="0.2">
      <c r="B11">
        <v>127</v>
      </c>
      <c r="C11">
        <v>50</v>
      </c>
      <c r="D11">
        <f t="shared" si="0"/>
        <v>77</v>
      </c>
      <c r="E11">
        <v>13</v>
      </c>
    </row>
    <row r="12" spans="1:5" x14ac:dyDescent="0.2">
      <c r="B12">
        <v>127</v>
      </c>
      <c r="C12">
        <v>43</v>
      </c>
      <c r="D12">
        <f t="shared" si="0"/>
        <v>84</v>
      </c>
      <c r="E12">
        <v>14</v>
      </c>
    </row>
    <row r="13" spans="1:5" x14ac:dyDescent="0.2">
      <c r="A13">
        <v>7</v>
      </c>
      <c r="B13">
        <v>127</v>
      </c>
      <c r="D13">
        <f t="shared" si="0"/>
        <v>127</v>
      </c>
    </row>
    <row r="14" spans="1:5" x14ac:dyDescent="0.2">
      <c r="B14">
        <v>127</v>
      </c>
      <c r="D14">
        <f t="shared" si="0"/>
        <v>127</v>
      </c>
    </row>
    <row r="15" spans="1:5" x14ac:dyDescent="0.2">
      <c r="B15">
        <v>127</v>
      </c>
      <c r="D15">
        <f t="shared" si="0"/>
        <v>127</v>
      </c>
    </row>
    <row r="16" spans="1:5" x14ac:dyDescent="0.2">
      <c r="D16">
        <f t="shared" si="0"/>
        <v>0</v>
      </c>
    </row>
    <row r="17" spans="1:5" x14ac:dyDescent="0.2">
      <c r="B17">
        <v>511</v>
      </c>
      <c r="C17">
        <v>502</v>
      </c>
      <c r="D17">
        <f t="shared" si="0"/>
        <v>9</v>
      </c>
      <c r="E17">
        <v>1</v>
      </c>
    </row>
    <row r="18" spans="1:5" x14ac:dyDescent="0.2">
      <c r="B18">
        <v>511</v>
      </c>
      <c r="C18">
        <v>493</v>
      </c>
      <c r="D18">
        <f t="shared" si="0"/>
        <v>18</v>
      </c>
      <c r="E18">
        <v>2</v>
      </c>
    </row>
    <row r="19" spans="1:5" x14ac:dyDescent="0.2">
      <c r="A19">
        <v>9</v>
      </c>
      <c r="B19">
        <v>511</v>
      </c>
      <c r="C19">
        <v>484</v>
      </c>
      <c r="D19">
        <f t="shared" si="0"/>
        <v>27</v>
      </c>
      <c r="E19">
        <v>3</v>
      </c>
    </row>
    <row r="20" spans="1:5" x14ac:dyDescent="0.2">
      <c r="B20">
        <v>511</v>
      </c>
      <c r="C20">
        <v>475</v>
      </c>
      <c r="D20">
        <f t="shared" si="0"/>
        <v>36</v>
      </c>
      <c r="E20">
        <v>4</v>
      </c>
    </row>
    <row r="21" spans="1:5" x14ac:dyDescent="0.2">
      <c r="B21">
        <v>511</v>
      </c>
      <c r="C21">
        <v>466</v>
      </c>
      <c r="D21">
        <f t="shared" si="0"/>
        <v>45</v>
      </c>
      <c r="E21">
        <v>5</v>
      </c>
    </row>
    <row r="22" spans="1:5" x14ac:dyDescent="0.2">
      <c r="B22">
        <v>511</v>
      </c>
      <c r="C22">
        <v>457</v>
      </c>
      <c r="D22">
        <f t="shared" si="0"/>
        <v>54</v>
      </c>
      <c r="E22">
        <v>6</v>
      </c>
    </row>
    <row r="23" spans="1:5" x14ac:dyDescent="0.2">
      <c r="B23">
        <v>511</v>
      </c>
      <c r="C23">
        <v>448</v>
      </c>
      <c r="D23">
        <f t="shared" si="0"/>
        <v>63</v>
      </c>
      <c r="E23">
        <v>7</v>
      </c>
    </row>
    <row r="24" spans="1:5" x14ac:dyDescent="0.2">
      <c r="B24">
        <v>511</v>
      </c>
      <c r="C24">
        <v>439</v>
      </c>
      <c r="D24">
        <f t="shared" si="0"/>
        <v>72</v>
      </c>
      <c r="E24">
        <v>8</v>
      </c>
    </row>
    <row r="25" spans="1:5" x14ac:dyDescent="0.2">
      <c r="B25">
        <v>511</v>
      </c>
      <c r="C25">
        <v>430</v>
      </c>
      <c r="D25">
        <f t="shared" si="0"/>
        <v>81</v>
      </c>
      <c r="E25">
        <v>9</v>
      </c>
    </row>
    <row r="26" spans="1:5" x14ac:dyDescent="0.2">
      <c r="B26">
        <v>511</v>
      </c>
      <c r="C26">
        <v>421</v>
      </c>
      <c r="D26">
        <f t="shared" si="0"/>
        <v>90</v>
      </c>
      <c r="E26">
        <v>10</v>
      </c>
    </row>
    <row r="27" spans="1:5" x14ac:dyDescent="0.2">
      <c r="B27">
        <v>511</v>
      </c>
      <c r="C27">
        <v>412</v>
      </c>
      <c r="D27">
        <f t="shared" si="0"/>
        <v>99</v>
      </c>
      <c r="E27">
        <v>11</v>
      </c>
    </row>
    <row r="28" spans="1:5" x14ac:dyDescent="0.2">
      <c r="B28">
        <v>511</v>
      </c>
      <c r="C28">
        <v>403</v>
      </c>
      <c r="D28">
        <f t="shared" si="0"/>
        <v>108</v>
      </c>
      <c r="E28">
        <v>12</v>
      </c>
    </row>
    <row r="29" spans="1:5" x14ac:dyDescent="0.2">
      <c r="B29">
        <v>511</v>
      </c>
      <c r="C29">
        <v>394</v>
      </c>
      <c r="D29">
        <f t="shared" si="0"/>
        <v>117</v>
      </c>
      <c r="E29">
        <v>13</v>
      </c>
    </row>
    <row r="30" spans="1:5" x14ac:dyDescent="0.2">
      <c r="B30">
        <v>511</v>
      </c>
      <c r="C30">
        <v>385</v>
      </c>
      <c r="D30">
        <f t="shared" si="0"/>
        <v>126</v>
      </c>
      <c r="E30">
        <v>14</v>
      </c>
    </row>
    <row r="31" spans="1:5" x14ac:dyDescent="0.2">
      <c r="B31">
        <v>511</v>
      </c>
      <c r="C31">
        <v>376</v>
      </c>
      <c r="D31">
        <f t="shared" si="0"/>
        <v>135</v>
      </c>
      <c r="E31">
        <v>15</v>
      </c>
    </row>
    <row r="32" spans="1:5" x14ac:dyDescent="0.2">
      <c r="B32">
        <v>511</v>
      </c>
      <c r="C32">
        <v>367</v>
      </c>
      <c r="D32">
        <f t="shared" si="0"/>
        <v>144</v>
      </c>
      <c r="E32">
        <v>16</v>
      </c>
    </row>
    <row r="35" spans="1:8" x14ac:dyDescent="0.2">
      <c r="A35" s="2" t="s">
        <v>4</v>
      </c>
      <c r="B35" t="s">
        <v>15</v>
      </c>
      <c r="C35" s="2" t="s">
        <v>5</v>
      </c>
      <c r="D35" t="s">
        <v>16</v>
      </c>
      <c r="E35" t="s">
        <v>7</v>
      </c>
      <c r="F35" t="s">
        <v>19</v>
      </c>
      <c r="G35" t="s">
        <v>20</v>
      </c>
      <c r="H35" t="s">
        <v>8</v>
      </c>
    </row>
    <row r="36" spans="1:8" x14ac:dyDescent="0.2">
      <c r="A36" s="3">
        <v>5</v>
      </c>
      <c r="B36" s="1">
        <v>1</v>
      </c>
      <c r="C36" s="3">
        <v>90</v>
      </c>
      <c r="D36" s="1">
        <v>10</v>
      </c>
      <c r="E36" s="1">
        <f t="shared" ref="E36:E44" si="1">A36+C36</f>
        <v>95</v>
      </c>
      <c r="F36" s="8">
        <f xml:space="preserve"> 14/(14+A36)</f>
        <v>0.73684210526315785</v>
      </c>
      <c r="G36" s="8">
        <f>320/(320+C36)</f>
        <v>0.78048780487804881</v>
      </c>
      <c r="H36" s="6">
        <f>334/(E36+334)</f>
        <v>0.7785547785547785</v>
      </c>
    </row>
    <row r="37" spans="1:8" x14ac:dyDescent="0.2">
      <c r="A37" s="3">
        <v>10</v>
      </c>
      <c r="B37" s="1">
        <v>2</v>
      </c>
      <c r="C37" s="3">
        <v>81</v>
      </c>
      <c r="D37" s="1">
        <v>9</v>
      </c>
      <c r="E37" s="1">
        <f t="shared" si="1"/>
        <v>91</v>
      </c>
      <c r="F37" s="8">
        <f t="shared" ref="F37:F44" si="2" xml:space="preserve"> 14/(14+A37)</f>
        <v>0.58333333333333337</v>
      </c>
      <c r="G37" s="8">
        <f t="shared" ref="G37:G44" si="3">320/(320+C37)</f>
        <v>0.79800498753117211</v>
      </c>
      <c r="H37" s="6">
        <f t="shared" ref="H37:H44" si="4">334/(E37+334)</f>
        <v>0.78588235294117648</v>
      </c>
    </row>
    <row r="38" spans="1:8" x14ac:dyDescent="0.2">
      <c r="A38" s="2">
        <v>15</v>
      </c>
      <c r="B38">
        <v>3</v>
      </c>
      <c r="C38" s="2">
        <v>72</v>
      </c>
      <c r="D38">
        <v>8</v>
      </c>
      <c r="E38">
        <f t="shared" si="1"/>
        <v>87</v>
      </c>
      <c r="F38" s="8">
        <f t="shared" si="2"/>
        <v>0.48275862068965519</v>
      </c>
      <c r="G38" s="8">
        <f t="shared" si="3"/>
        <v>0.81632653061224492</v>
      </c>
      <c r="H38" s="7">
        <f t="shared" si="4"/>
        <v>0.79334916864608074</v>
      </c>
    </row>
    <row r="39" spans="1:8" x14ac:dyDescent="0.2">
      <c r="A39" s="3">
        <v>24</v>
      </c>
      <c r="B39" s="1">
        <v>4</v>
      </c>
      <c r="C39" s="3">
        <v>63</v>
      </c>
      <c r="D39" s="1">
        <v>7</v>
      </c>
      <c r="E39" s="1">
        <f t="shared" si="1"/>
        <v>87</v>
      </c>
      <c r="F39" s="8">
        <f t="shared" si="2"/>
        <v>0.36842105263157893</v>
      </c>
      <c r="G39" s="8">
        <f t="shared" si="3"/>
        <v>0.835509138381201</v>
      </c>
      <c r="H39" s="6">
        <f t="shared" si="4"/>
        <v>0.79334916864608074</v>
      </c>
    </row>
    <row r="40" spans="1:8" x14ac:dyDescent="0.2">
      <c r="A40" s="3">
        <v>39</v>
      </c>
      <c r="B40" s="1">
        <v>7</v>
      </c>
      <c r="C40" s="3">
        <v>54</v>
      </c>
      <c r="D40" s="1">
        <v>6</v>
      </c>
      <c r="E40" s="1">
        <f t="shared" si="1"/>
        <v>93</v>
      </c>
      <c r="F40" s="8">
        <f t="shared" si="2"/>
        <v>0.26415094339622641</v>
      </c>
      <c r="G40" s="8">
        <f t="shared" si="3"/>
        <v>0.85561497326203206</v>
      </c>
      <c r="H40" s="6">
        <f t="shared" si="4"/>
        <v>0.7822014051522248</v>
      </c>
    </row>
    <row r="41" spans="1:8" x14ac:dyDescent="0.2">
      <c r="A41" s="4">
        <v>45</v>
      </c>
      <c r="B41" s="5">
        <v>10</v>
      </c>
      <c r="C41" s="4">
        <v>45</v>
      </c>
      <c r="D41" s="5">
        <v>5</v>
      </c>
      <c r="E41" s="5">
        <f t="shared" si="1"/>
        <v>90</v>
      </c>
      <c r="F41" s="8">
        <f t="shared" si="2"/>
        <v>0.23728813559322035</v>
      </c>
      <c r="G41" s="8">
        <f t="shared" si="3"/>
        <v>0.87671232876712324</v>
      </c>
      <c r="H41" s="8">
        <f t="shared" si="4"/>
        <v>0.78773584905660377</v>
      </c>
    </row>
    <row r="42" spans="1:8" x14ac:dyDescent="0.2">
      <c r="A42" s="3">
        <v>47</v>
      </c>
      <c r="B42" s="1">
        <v>11</v>
      </c>
      <c r="C42" s="3">
        <v>45</v>
      </c>
      <c r="D42" s="1">
        <v>5</v>
      </c>
      <c r="E42" s="1">
        <f t="shared" si="1"/>
        <v>92</v>
      </c>
      <c r="F42" s="8">
        <f t="shared" si="2"/>
        <v>0.22950819672131148</v>
      </c>
      <c r="G42" s="8">
        <f t="shared" si="3"/>
        <v>0.87671232876712324</v>
      </c>
      <c r="H42" s="6">
        <f t="shared" si="4"/>
        <v>0.784037558685446</v>
      </c>
    </row>
    <row r="43" spans="1:8" x14ac:dyDescent="0.2">
      <c r="A43" s="2">
        <v>77</v>
      </c>
      <c r="B43">
        <v>13</v>
      </c>
      <c r="C43" s="2">
        <v>18</v>
      </c>
      <c r="D43">
        <v>2</v>
      </c>
      <c r="E43">
        <f t="shared" si="1"/>
        <v>95</v>
      </c>
      <c r="F43" s="8">
        <f t="shared" si="2"/>
        <v>0.15384615384615385</v>
      </c>
      <c r="G43" s="8">
        <f t="shared" si="3"/>
        <v>0.94674556213017746</v>
      </c>
      <c r="H43" s="7">
        <f t="shared" si="4"/>
        <v>0.7785547785547785</v>
      </c>
    </row>
    <row r="44" spans="1:8" x14ac:dyDescent="0.2">
      <c r="A44" s="3">
        <v>84</v>
      </c>
      <c r="B44" s="1">
        <v>14</v>
      </c>
      <c r="C44" s="3">
        <v>9</v>
      </c>
      <c r="D44" s="1">
        <v>1</v>
      </c>
      <c r="E44" s="1">
        <f t="shared" si="1"/>
        <v>93</v>
      </c>
      <c r="F44" s="8">
        <f t="shared" si="2"/>
        <v>0.14285714285714285</v>
      </c>
      <c r="G44" s="8">
        <f t="shared" si="3"/>
        <v>0.97264437689969607</v>
      </c>
      <c r="H44" s="6">
        <f t="shared" si="4"/>
        <v>0.7822014051522248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4213-53F3-4FA9-80BD-D8CA78228DBA}">
  <dimension ref="A1:H49"/>
  <sheetViews>
    <sheetView topLeftCell="A16" workbookViewId="0">
      <selection activeCell="G46" sqref="G46"/>
    </sheetView>
  </sheetViews>
  <sheetFormatPr defaultRowHeight="14.25" x14ac:dyDescent="0.2"/>
  <sheetData>
    <row r="1" spans="1:5" x14ac:dyDescent="0.2">
      <c r="A1" t="s">
        <v>10</v>
      </c>
      <c r="B1" t="s">
        <v>12</v>
      </c>
      <c r="C1" t="s">
        <v>13</v>
      </c>
      <c r="D1" t="s">
        <v>14</v>
      </c>
      <c r="E1" t="s">
        <v>9</v>
      </c>
    </row>
    <row r="2" spans="1:5" x14ac:dyDescent="0.2">
      <c r="A2">
        <v>5</v>
      </c>
      <c r="B2">
        <v>31</v>
      </c>
      <c r="C2">
        <v>26</v>
      </c>
      <c r="D2">
        <f>B2-C2</f>
        <v>5</v>
      </c>
      <c r="E2">
        <v>1</v>
      </c>
    </row>
    <row r="3" spans="1:5" x14ac:dyDescent="0.2">
      <c r="B3">
        <v>31</v>
      </c>
      <c r="C3">
        <v>21</v>
      </c>
      <c r="D3">
        <f t="shared" ref="D3:D35" si="0">B3-C3</f>
        <v>10</v>
      </c>
      <c r="E3">
        <v>2</v>
      </c>
    </row>
    <row r="4" spans="1:5" x14ac:dyDescent="0.2">
      <c r="B4">
        <v>31</v>
      </c>
      <c r="C4">
        <v>16</v>
      </c>
      <c r="D4">
        <f t="shared" si="0"/>
        <v>15</v>
      </c>
      <c r="E4">
        <v>3</v>
      </c>
    </row>
    <row r="5" spans="1:5" x14ac:dyDescent="0.2">
      <c r="A5">
        <v>6</v>
      </c>
      <c r="B5">
        <v>63</v>
      </c>
      <c r="C5">
        <v>39</v>
      </c>
      <c r="D5">
        <f t="shared" si="0"/>
        <v>24</v>
      </c>
      <c r="E5">
        <v>4</v>
      </c>
    </row>
    <row r="6" spans="1:5" x14ac:dyDescent="0.2">
      <c r="B6">
        <v>63</v>
      </c>
      <c r="C6">
        <v>36</v>
      </c>
      <c r="D6">
        <f t="shared" si="0"/>
        <v>27</v>
      </c>
      <c r="E6">
        <v>5</v>
      </c>
    </row>
    <row r="7" spans="1:5" x14ac:dyDescent="0.2">
      <c r="B7">
        <v>63</v>
      </c>
      <c r="C7">
        <v>30</v>
      </c>
      <c r="D7">
        <f t="shared" si="0"/>
        <v>33</v>
      </c>
      <c r="E7">
        <v>6</v>
      </c>
    </row>
    <row r="8" spans="1:5" x14ac:dyDescent="0.2">
      <c r="B8">
        <v>63</v>
      </c>
      <c r="C8">
        <v>24</v>
      </c>
      <c r="D8">
        <f t="shared" si="0"/>
        <v>39</v>
      </c>
      <c r="E8">
        <v>7</v>
      </c>
    </row>
    <row r="9" spans="1:5" x14ac:dyDescent="0.2">
      <c r="B9">
        <v>63</v>
      </c>
      <c r="C9">
        <v>18</v>
      </c>
      <c r="D9">
        <f t="shared" si="0"/>
        <v>45</v>
      </c>
      <c r="E9">
        <v>10</v>
      </c>
    </row>
    <row r="10" spans="1:5" x14ac:dyDescent="0.2">
      <c r="B10">
        <v>63</v>
      </c>
      <c r="C10">
        <v>16</v>
      </c>
      <c r="D10">
        <f t="shared" si="0"/>
        <v>47</v>
      </c>
      <c r="E10">
        <v>11</v>
      </c>
    </row>
    <row r="11" spans="1:5" x14ac:dyDescent="0.2">
      <c r="B11">
        <v>127</v>
      </c>
      <c r="C11">
        <v>71</v>
      </c>
      <c r="D11">
        <f t="shared" ref="D11:D13" si="1">B11-C11</f>
        <v>56</v>
      </c>
      <c r="E11">
        <v>9</v>
      </c>
    </row>
    <row r="12" spans="1:5" x14ac:dyDescent="0.2">
      <c r="B12">
        <v>127</v>
      </c>
      <c r="C12">
        <v>64</v>
      </c>
      <c r="D12">
        <f t="shared" si="1"/>
        <v>63</v>
      </c>
      <c r="E12">
        <v>10</v>
      </c>
    </row>
    <row r="13" spans="1:5" x14ac:dyDescent="0.2">
      <c r="B13">
        <v>127</v>
      </c>
      <c r="C13">
        <v>57</v>
      </c>
      <c r="D13">
        <f t="shared" si="1"/>
        <v>70</v>
      </c>
      <c r="E13">
        <v>11</v>
      </c>
    </row>
    <row r="14" spans="1:5" x14ac:dyDescent="0.2">
      <c r="B14">
        <v>127</v>
      </c>
      <c r="C14">
        <v>50</v>
      </c>
      <c r="D14">
        <f t="shared" si="0"/>
        <v>77</v>
      </c>
      <c r="E14">
        <v>13</v>
      </c>
    </row>
    <row r="15" spans="1:5" x14ac:dyDescent="0.2">
      <c r="B15">
        <v>127</v>
      </c>
      <c r="C15">
        <v>43</v>
      </c>
      <c r="D15">
        <f t="shared" si="0"/>
        <v>84</v>
      </c>
      <c r="E15">
        <v>14</v>
      </c>
    </row>
    <row r="16" spans="1:5" x14ac:dyDescent="0.2">
      <c r="A16">
        <v>7</v>
      </c>
      <c r="B16">
        <v>127</v>
      </c>
      <c r="D16">
        <f t="shared" si="0"/>
        <v>127</v>
      </c>
    </row>
    <row r="17" spans="1:5" x14ac:dyDescent="0.2">
      <c r="B17">
        <v>127</v>
      </c>
      <c r="D17">
        <f t="shared" si="0"/>
        <v>127</v>
      </c>
    </row>
    <row r="18" spans="1:5" x14ac:dyDescent="0.2">
      <c r="B18">
        <v>127</v>
      </c>
      <c r="D18">
        <f t="shared" si="0"/>
        <v>127</v>
      </c>
    </row>
    <row r="19" spans="1:5" x14ac:dyDescent="0.2">
      <c r="D19">
        <f t="shared" si="0"/>
        <v>0</v>
      </c>
    </row>
    <row r="20" spans="1:5" x14ac:dyDescent="0.2">
      <c r="B20">
        <v>511</v>
      </c>
      <c r="C20">
        <v>502</v>
      </c>
      <c r="D20">
        <f t="shared" si="0"/>
        <v>9</v>
      </c>
      <c r="E20">
        <v>1</v>
      </c>
    </row>
    <row r="21" spans="1:5" x14ac:dyDescent="0.2">
      <c r="B21">
        <v>511</v>
      </c>
      <c r="C21">
        <v>493</v>
      </c>
      <c r="D21">
        <f t="shared" si="0"/>
        <v>18</v>
      </c>
      <c r="E21">
        <v>2</v>
      </c>
    </row>
    <row r="22" spans="1:5" x14ac:dyDescent="0.2">
      <c r="A22">
        <v>9</v>
      </c>
      <c r="B22">
        <v>511</v>
      </c>
      <c r="C22">
        <v>484</v>
      </c>
      <c r="D22">
        <f t="shared" si="0"/>
        <v>27</v>
      </c>
      <c r="E22">
        <v>3</v>
      </c>
    </row>
    <row r="23" spans="1:5" x14ac:dyDescent="0.2">
      <c r="B23">
        <v>511</v>
      </c>
      <c r="C23">
        <v>475</v>
      </c>
      <c r="D23">
        <f t="shared" si="0"/>
        <v>36</v>
      </c>
      <c r="E23">
        <v>4</v>
      </c>
    </row>
    <row r="24" spans="1:5" x14ac:dyDescent="0.2">
      <c r="B24">
        <v>511</v>
      </c>
      <c r="C24">
        <v>466</v>
      </c>
      <c r="D24">
        <f t="shared" si="0"/>
        <v>45</v>
      </c>
      <c r="E24">
        <v>5</v>
      </c>
    </row>
    <row r="25" spans="1:5" x14ac:dyDescent="0.2">
      <c r="B25">
        <v>511</v>
      </c>
      <c r="C25">
        <v>457</v>
      </c>
      <c r="D25">
        <f t="shared" si="0"/>
        <v>54</v>
      </c>
      <c r="E25">
        <v>6</v>
      </c>
    </row>
    <row r="26" spans="1:5" x14ac:dyDescent="0.2">
      <c r="B26">
        <v>511</v>
      </c>
      <c r="C26">
        <v>448</v>
      </c>
      <c r="D26">
        <f t="shared" si="0"/>
        <v>63</v>
      </c>
      <c r="E26">
        <v>7</v>
      </c>
    </row>
    <row r="27" spans="1:5" x14ac:dyDescent="0.2">
      <c r="B27">
        <v>511</v>
      </c>
      <c r="C27">
        <v>439</v>
      </c>
      <c r="D27">
        <f t="shared" si="0"/>
        <v>72</v>
      </c>
      <c r="E27">
        <v>8</v>
      </c>
    </row>
    <row r="28" spans="1:5" x14ac:dyDescent="0.2">
      <c r="B28">
        <v>511</v>
      </c>
      <c r="C28">
        <v>430</v>
      </c>
      <c r="D28">
        <f t="shared" si="0"/>
        <v>81</v>
      </c>
      <c r="E28">
        <v>9</v>
      </c>
    </row>
    <row r="29" spans="1:5" x14ac:dyDescent="0.2">
      <c r="B29">
        <v>511</v>
      </c>
      <c r="C29">
        <v>421</v>
      </c>
      <c r="D29">
        <f t="shared" si="0"/>
        <v>90</v>
      </c>
      <c r="E29">
        <v>10</v>
      </c>
    </row>
    <row r="30" spans="1:5" x14ac:dyDescent="0.2">
      <c r="B30">
        <v>511</v>
      </c>
      <c r="C30">
        <v>412</v>
      </c>
      <c r="D30">
        <f t="shared" si="0"/>
        <v>99</v>
      </c>
      <c r="E30">
        <v>11</v>
      </c>
    </row>
    <row r="31" spans="1:5" x14ac:dyDescent="0.2">
      <c r="B31">
        <v>511</v>
      </c>
      <c r="C31">
        <v>403</v>
      </c>
      <c r="D31">
        <f t="shared" si="0"/>
        <v>108</v>
      </c>
      <c r="E31">
        <v>12</v>
      </c>
    </row>
    <row r="32" spans="1:5" x14ac:dyDescent="0.2">
      <c r="B32">
        <v>511</v>
      </c>
      <c r="C32">
        <v>394</v>
      </c>
      <c r="D32">
        <f t="shared" si="0"/>
        <v>117</v>
      </c>
      <c r="E32">
        <v>13</v>
      </c>
    </row>
    <row r="33" spans="1:8" x14ac:dyDescent="0.2">
      <c r="B33">
        <v>511</v>
      </c>
      <c r="C33">
        <v>385</v>
      </c>
      <c r="D33">
        <f t="shared" si="0"/>
        <v>126</v>
      </c>
      <c r="E33">
        <v>14</v>
      </c>
    </row>
    <row r="34" spans="1:8" x14ac:dyDescent="0.2">
      <c r="B34">
        <v>511</v>
      </c>
      <c r="C34">
        <v>376</v>
      </c>
      <c r="D34">
        <f t="shared" si="0"/>
        <v>135</v>
      </c>
      <c r="E34">
        <v>15</v>
      </c>
    </row>
    <row r="35" spans="1:8" x14ac:dyDescent="0.2">
      <c r="B35">
        <v>511</v>
      </c>
      <c r="C35">
        <v>367</v>
      </c>
      <c r="D35">
        <f t="shared" si="0"/>
        <v>144</v>
      </c>
      <c r="E35">
        <v>16</v>
      </c>
    </row>
    <row r="38" spans="1:8" x14ac:dyDescent="0.2">
      <c r="A38" s="2" t="s">
        <v>4</v>
      </c>
      <c r="B38" t="s">
        <v>15</v>
      </c>
      <c r="C38" s="2" t="s">
        <v>5</v>
      </c>
      <c r="D38" t="s">
        <v>16</v>
      </c>
      <c r="E38" t="s">
        <v>7</v>
      </c>
      <c r="F38" t="s">
        <v>17</v>
      </c>
      <c r="G38" t="s">
        <v>18</v>
      </c>
      <c r="H38" t="s">
        <v>8</v>
      </c>
    </row>
    <row r="39" spans="1:8" x14ac:dyDescent="0.2">
      <c r="A39" s="2">
        <v>5</v>
      </c>
      <c r="B39">
        <v>1</v>
      </c>
      <c r="C39" s="2">
        <v>108</v>
      </c>
      <c r="D39">
        <v>12</v>
      </c>
      <c r="E39">
        <f t="shared" ref="E39:E45" si="2">A39+C39</f>
        <v>113</v>
      </c>
      <c r="F39" s="7">
        <f t="shared" ref="F39:F45" si="3" xml:space="preserve"> 14/(14+A39)</f>
        <v>0.73684210526315785</v>
      </c>
      <c r="G39" s="7">
        <f t="shared" ref="G39:G45" si="4">320/(320+C39)</f>
        <v>0.74766355140186913</v>
      </c>
      <c r="H39" s="7">
        <f t="shared" ref="H39:H45" si="5">334/(E39+334)</f>
        <v>0.74720357941834448</v>
      </c>
    </row>
    <row r="40" spans="1:8" x14ac:dyDescent="0.2">
      <c r="A40" s="2">
        <v>15</v>
      </c>
      <c r="B40">
        <v>3</v>
      </c>
      <c r="C40" s="2">
        <v>99</v>
      </c>
      <c r="D40">
        <v>11</v>
      </c>
      <c r="E40">
        <f>A40+C40</f>
        <v>114</v>
      </c>
      <c r="F40" s="7">
        <f t="shared" si="3"/>
        <v>0.48275862068965519</v>
      </c>
      <c r="G40" s="7">
        <f t="shared" si="4"/>
        <v>0.76372315035799521</v>
      </c>
      <c r="H40" s="7">
        <f t="shared" si="5"/>
        <v>0.7455357142857143</v>
      </c>
    </row>
    <row r="41" spans="1:8" x14ac:dyDescent="0.2">
      <c r="A41" s="2">
        <v>24</v>
      </c>
      <c r="B41">
        <v>4</v>
      </c>
      <c r="C41" s="2">
        <v>90</v>
      </c>
      <c r="D41">
        <v>10</v>
      </c>
      <c r="E41">
        <f>A41+C41</f>
        <v>114</v>
      </c>
      <c r="F41" s="7">
        <f t="shared" si="3"/>
        <v>0.36842105263157893</v>
      </c>
      <c r="G41" s="7">
        <f t="shared" si="4"/>
        <v>0.78048780487804881</v>
      </c>
      <c r="H41" s="7">
        <f t="shared" si="5"/>
        <v>0.7455357142857143</v>
      </c>
    </row>
    <row r="42" spans="1:8" x14ac:dyDescent="0.2">
      <c r="A42" s="2">
        <v>33</v>
      </c>
      <c r="B42">
        <v>6</v>
      </c>
      <c r="C42" s="2">
        <v>81</v>
      </c>
      <c r="D42">
        <v>9</v>
      </c>
      <c r="E42">
        <f t="shared" si="2"/>
        <v>114</v>
      </c>
      <c r="F42" s="7">
        <f t="shared" si="3"/>
        <v>0.2978723404255319</v>
      </c>
      <c r="G42" s="7">
        <f t="shared" si="4"/>
        <v>0.79800498753117211</v>
      </c>
      <c r="H42" s="7">
        <f t="shared" si="5"/>
        <v>0.7455357142857143</v>
      </c>
    </row>
    <row r="43" spans="1:8" x14ac:dyDescent="0.2">
      <c r="A43" s="2">
        <v>47</v>
      </c>
      <c r="B43">
        <v>11</v>
      </c>
      <c r="C43" s="2">
        <v>63</v>
      </c>
      <c r="D43">
        <v>7</v>
      </c>
      <c r="E43">
        <f t="shared" si="2"/>
        <v>110</v>
      </c>
      <c r="F43" s="7">
        <f t="shared" si="3"/>
        <v>0.22950819672131148</v>
      </c>
      <c r="G43" s="7">
        <f t="shared" si="4"/>
        <v>0.835509138381201</v>
      </c>
      <c r="H43" s="7">
        <f t="shared" si="5"/>
        <v>0.75225225225225223</v>
      </c>
    </row>
    <row r="44" spans="1:8" x14ac:dyDescent="0.2">
      <c r="A44" s="2">
        <v>56</v>
      </c>
      <c r="B44">
        <v>9</v>
      </c>
      <c r="C44" s="2">
        <v>54</v>
      </c>
      <c r="D44">
        <v>6</v>
      </c>
      <c r="E44">
        <f t="shared" si="2"/>
        <v>110</v>
      </c>
      <c r="F44" s="7">
        <f t="shared" si="3"/>
        <v>0.2</v>
      </c>
      <c r="G44" s="7">
        <f t="shared" si="4"/>
        <v>0.85561497326203206</v>
      </c>
      <c r="H44" s="7">
        <f t="shared" si="5"/>
        <v>0.75225225225225223</v>
      </c>
    </row>
    <row r="45" spans="1:8" x14ac:dyDescent="0.2">
      <c r="A45" s="2">
        <v>77</v>
      </c>
      <c r="B45">
        <v>13</v>
      </c>
      <c r="C45" s="2">
        <v>36</v>
      </c>
      <c r="D45">
        <v>4</v>
      </c>
      <c r="E45">
        <f t="shared" si="2"/>
        <v>113</v>
      </c>
      <c r="F45" s="7">
        <f t="shared" si="3"/>
        <v>0.15384615384615385</v>
      </c>
      <c r="G45" s="7">
        <f t="shared" si="4"/>
        <v>0.898876404494382</v>
      </c>
      <c r="H45" s="7">
        <f t="shared" si="5"/>
        <v>0.74720357941834448</v>
      </c>
    </row>
    <row r="46" spans="1:8" x14ac:dyDescent="0.2">
      <c r="A46" s="2">
        <v>84</v>
      </c>
      <c r="B46">
        <v>14</v>
      </c>
      <c r="C46" s="2">
        <v>27</v>
      </c>
      <c r="D46">
        <v>3</v>
      </c>
      <c r="E46">
        <f t="shared" ref="E46" si="6">A46+C46</f>
        <v>111</v>
      </c>
      <c r="F46" s="7">
        <f t="shared" ref="F46" si="7" xml:space="preserve"> 14/(14+A46)</f>
        <v>0.14285714285714285</v>
      </c>
      <c r="G46" s="7">
        <f t="shared" ref="G46" si="8">320/(320+C46)</f>
        <v>0.9221902017291066</v>
      </c>
      <c r="H46" s="7">
        <f t="shared" ref="H46" si="9">334/(E46+334)</f>
        <v>0.75056179775280896</v>
      </c>
    </row>
    <row r="47" spans="1:8" x14ac:dyDescent="0.2">
      <c r="A47" s="3"/>
      <c r="B47" s="1"/>
      <c r="C47" s="3"/>
      <c r="D47" s="1"/>
      <c r="E47" s="1"/>
      <c r="F47" s="8"/>
      <c r="G47" s="8"/>
      <c r="H47" s="6"/>
    </row>
    <row r="48" spans="1:8" x14ac:dyDescent="0.2">
      <c r="A48" s="2"/>
      <c r="C48" s="2"/>
      <c r="F48" s="8"/>
      <c r="G48" s="8"/>
      <c r="H48" s="7"/>
    </row>
    <row r="49" spans="1:8" x14ac:dyDescent="0.2">
      <c r="A49" s="3"/>
      <c r="B49" s="1"/>
      <c r="C49" s="3"/>
      <c r="D49" s="1"/>
      <c r="E49" s="1"/>
      <c r="F49" s="8"/>
      <c r="G49" s="8"/>
      <c r="H49" s="6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D5CD-6F6C-4F18-B60C-84A30D3ACA13}">
  <dimension ref="A1:H43"/>
  <sheetViews>
    <sheetView tabSelected="1" topLeftCell="A7" workbookViewId="0">
      <selection activeCell="D17" sqref="D17"/>
    </sheetView>
  </sheetViews>
  <sheetFormatPr defaultRowHeight="14.25" x14ac:dyDescent="0.2"/>
  <sheetData>
    <row r="1" spans="1:4" x14ac:dyDescent="0.2">
      <c r="A1" t="s">
        <v>10</v>
      </c>
      <c r="B1" t="s">
        <v>12</v>
      </c>
      <c r="C1" t="s">
        <v>13</v>
      </c>
      <c r="D1" t="s">
        <v>14</v>
      </c>
    </row>
    <row r="2" spans="1:4" x14ac:dyDescent="0.2">
      <c r="A2">
        <v>5</v>
      </c>
      <c r="B2">
        <v>31</v>
      </c>
      <c r="C2">
        <v>26</v>
      </c>
      <c r="D2">
        <f>B2-C2</f>
        <v>5</v>
      </c>
    </row>
    <row r="3" spans="1:4" x14ac:dyDescent="0.2">
      <c r="B3">
        <v>31</v>
      </c>
      <c r="C3">
        <v>21</v>
      </c>
      <c r="D3">
        <f t="shared" ref="D3:D31" si="0">B3-C3</f>
        <v>10</v>
      </c>
    </row>
    <row r="4" spans="1:4" x14ac:dyDescent="0.2">
      <c r="B4">
        <v>31</v>
      </c>
      <c r="C4">
        <v>16</v>
      </c>
      <c r="D4">
        <f t="shared" si="0"/>
        <v>15</v>
      </c>
    </row>
    <row r="5" spans="1:4" x14ac:dyDescent="0.2">
      <c r="A5">
        <v>6</v>
      </c>
      <c r="B5">
        <v>63</v>
      </c>
      <c r="C5">
        <v>39</v>
      </c>
      <c r="D5">
        <f t="shared" si="0"/>
        <v>24</v>
      </c>
    </row>
    <row r="6" spans="1:4" x14ac:dyDescent="0.2">
      <c r="B6">
        <v>63</v>
      </c>
      <c r="C6">
        <v>36</v>
      </c>
      <c r="D6">
        <f t="shared" si="0"/>
        <v>27</v>
      </c>
    </row>
    <row r="7" spans="1:4" x14ac:dyDescent="0.2">
      <c r="B7">
        <v>63</v>
      </c>
      <c r="C7">
        <v>30</v>
      </c>
      <c r="D7">
        <f t="shared" si="0"/>
        <v>33</v>
      </c>
    </row>
    <row r="8" spans="1:4" x14ac:dyDescent="0.2">
      <c r="B8">
        <v>63</v>
      </c>
      <c r="C8">
        <v>24</v>
      </c>
      <c r="D8">
        <f t="shared" si="0"/>
        <v>39</v>
      </c>
    </row>
    <row r="9" spans="1:4" x14ac:dyDescent="0.2">
      <c r="B9">
        <v>63</v>
      </c>
      <c r="C9">
        <v>18</v>
      </c>
      <c r="D9">
        <f t="shared" si="0"/>
        <v>45</v>
      </c>
    </row>
    <row r="10" spans="1:4" x14ac:dyDescent="0.2">
      <c r="B10">
        <v>63</v>
      </c>
      <c r="C10">
        <v>16</v>
      </c>
      <c r="D10">
        <f t="shared" si="0"/>
        <v>47</v>
      </c>
    </row>
    <row r="11" spans="1:4" x14ac:dyDescent="0.2">
      <c r="A11">
        <v>7</v>
      </c>
      <c r="B11">
        <v>127</v>
      </c>
      <c r="C11">
        <v>50</v>
      </c>
      <c r="D11">
        <f t="shared" si="0"/>
        <v>77</v>
      </c>
    </row>
    <row r="12" spans="1:4" x14ac:dyDescent="0.2">
      <c r="B12">
        <v>127</v>
      </c>
      <c r="C12">
        <v>43</v>
      </c>
      <c r="D12">
        <f t="shared" si="0"/>
        <v>84</v>
      </c>
    </row>
    <row r="13" spans="1:4" x14ac:dyDescent="0.2">
      <c r="B13">
        <v>127</v>
      </c>
      <c r="C13">
        <v>36</v>
      </c>
      <c r="D13">
        <f t="shared" si="0"/>
        <v>91</v>
      </c>
    </row>
    <row r="14" spans="1:4" x14ac:dyDescent="0.2">
      <c r="B14">
        <v>127</v>
      </c>
      <c r="C14">
        <v>29</v>
      </c>
      <c r="D14">
        <f t="shared" si="0"/>
        <v>98</v>
      </c>
    </row>
    <row r="15" spans="1:4" x14ac:dyDescent="0.2">
      <c r="B15">
        <v>127</v>
      </c>
      <c r="C15">
        <v>28</v>
      </c>
      <c r="D15">
        <f t="shared" si="0"/>
        <v>99</v>
      </c>
    </row>
    <row r="16" spans="1:4" x14ac:dyDescent="0.2">
      <c r="A16">
        <v>9</v>
      </c>
      <c r="B16">
        <v>511</v>
      </c>
      <c r="C16">
        <v>502</v>
      </c>
      <c r="D16">
        <f t="shared" si="0"/>
        <v>9</v>
      </c>
    </row>
    <row r="17" spans="2:4" x14ac:dyDescent="0.2">
      <c r="B17">
        <v>511</v>
      </c>
      <c r="C17">
        <v>493</v>
      </c>
      <c r="D17">
        <f t="shared" si="0"/>
        <v>18</v>
      </c>
    </row>
    <row r="18" spans="2:4" x14ac:dyDescent="0.2">
      <c r="B18">
        <v>511</v>
      </c>
      <c r="C18">
        <v>484</v>
      </c>
      <c r="D18">
        <f t="shared" si="0"/>
        <v>27</v>
      </c>
    </row>
    <row r="19" spans="2:4" x14ac:dyDescent="0.2">
      <c r="B19">
        <v>511</v>
      </c>
      <c r="C19">
        <v>475</v>
      </c>
      <c r="D19">
        <f t="shared" si="0"/>
        <v>36</v>
      </c>
    </row>
    <row r="20" spans="2:4" x14ac:dyDescent="0.2">
      <c r="B20">
        <v>511</v>
      </c>
      <c r="C20">
        <v>466</v>
      </c>
      <c r="D20">
        <f t="shared" si="0"/>
        <v>45</v>
      </c>
    </row>
    <row r="21" spans="2:4" x14ac:dyDescent="0.2">
      <c r="B21">
        <v>511</v>
      </c>
      <c r="C21">
        <v>457</v>
      </c>
      <c r="D21">
        <f t="shared" si="0"/>
        <v>54</v>
      </c>
    </row>
    <row r="22" spans="2:4" x14ac:dyDescent="0.2">
      <c r="B22">
        <v>511</v>
      </c>
      <c r="C22">
        <v>448</v>
      </c>
      <c r="D22">
        <f t="shared" si="0"/>
        <v>63</v>
      </c>
    </row>
    <row r="23" spans="2:4" x14ac:dyDescent="0.2">
      <c r="B23">
        <v>511</v>
      </c>
      <c r="C23">
        <v>439</v>
      </c>
      <c r="D23">
        <f t="shared" si="0"/>
        <v>72</v>
      </c>
    </row>
    <row r="24" spans="2:4" x14ac:dyDescent="0.2">
      <c r="B24">
        <v>511</v>
      </c>
      <c r="C24">
        <v>430</v>
      </c>
      <c r="D24">
        <f t="shared" si="0"/>
        <v>81</v>
      </c>
    </row>
    <row r="25" spans="2:4" x14ac:dyDescent="0.2">
      <c r="B25">
        <v>511</v>
      </c>
      <c r="C25">
        <v>421</v>
      </c>
      <c r="D25">
        <f t="shared" si="0"/>
        <v>90</v>
      </c>
    </row>
    <row r="26" spans="2:4" x14ac:dyDescent="0.2">
      <c r="B26">
        <v>511</v>
      </c>
      <c r="C26">
        <v>412</v>
      </c>
      <c r="D26">
        <f t="shared" si="0"/>
        <v>99</v>
      </c>
    </row>
    <row r="27" spans="2:4" x14ac:dyDescent="0.2">
      <c r="B27">
        <v>511</v>
      </c>
      <c r="C27">
        <v>403</v>
      </c>
      <c r="D27">
        <f t="shared" si="0"/>
        <v>108</v>
      </c>
    </row>
    <row r="28" spans="2:4" x14ac:dyDescent="0.2">
      <c r="B28">
        <v>511</v>
      </c>
      <c r="C28">
        <v>394</v>
      </c>
      <c r="D28">
        <f t="shared" si="0"/>
        <v>117</v>
      </c>
    </row>
    <row r="29" spans="2:4" x14ac:dyDescent="0.2">
      <c r="B29">
        <v>511</v>
      </c>
      <c r="C29">
        <v>385</v>
      </c>
      <c r="D29">
        <f t="shared" si="0"/>
        <v>126</v>
      </c>
    </row>
    <row r="30" spans="2:4" x14ac:dyDescent="0.2">
      <c r="B30">
        <v>511</v>
      </c>
      <c r="C30">
        <v>376</v>
      </c>
      <c r="D30">
        <f t="shared" si="0"/>
        <v>135</v>
      </c>
    </row>
    <row r="31" spans="2:4" x14ac:dyDescent="0.2">
      <c r="B31">
        <v>511</v>
      </c>
      <c r="C31">
        <v>367</v>
      </c>
      <c r="D31">
        <f t="shared" si="0"/>
        <v>144</v>
      </c>
    </row>
    <row r="34" spans="1:8" x14ac:dyDescent="0.2">
      <c r="A34" s="2"/>
      <c r="C34" s="2"/>
    </row>
    <row r="35" spans="1:8" s="1" customFormat="1" x14ac:dyDescent="0.2">
      <c r="A35" s="3"/>
      <c r="C35" s="3"/>
      <c r="F35" s="6"/>
      <c r="G35" s="6"/>
      <c r="H35" s="6"/>
    </row>
    <row r="36" spans="1:8" s="1" customFormat="1" x14ac:dyDescent="0.2">
      <c r="A36" s="3"/>
      <c r="C36" s="3"/>
      <c r="F36" s="6"/>
      <c r="G36" s="6"/>
      <c r="H36" s="6"/>
    </row>
    <row r="37" spans="1:8" s="1" customFormat="1" x14ac:dyDescent="0.2">
      <c r="A37" s="3"/>
      <c r="C37" s="3"/>
      <c r="F37" s="6"/>
      <c r="G37" s="6"/>
      <c r="H37" s="6"/>
    </row>
    <row r="38" spans="1:8" x14ac:dyDescent="0.2">
      <c r="A38" s="2"/>
      <c r="C38" s="2"/>
      <c r="F38" s="7"/>
      <c r="G38" s="7"/>
      <c r="H38" s="7"/>
    </row>
    <row r="39" spans="1:8" s="1" customFormat="1" x14ac:dyDescent="0.2">
      <c r="A39" s="3"/>
      <c r="C39" s="3"/>
      <c r="F39" s="6"/>
      <c r="G39" s="6"/>
      <c r="H39" s="6"/>
    </row>
    <row r="40" spans="1:8" x14ac:dyDescent="0.2">
      <c r="A40" s="2"/>
      <c r="C40" s="2"/>
      <c r="F40" s="7"/>
      <c r="G40" s="7"/>
      <c r="H40" s="7"/>
    </row>
    <row r="41" spans="1:8" s="1" customFormat="1" x14ac:dyDescent="0.2">
      <c r="A41" s="3"/>
      <c r="C41" s="3"/>
      <c r="F41" s="6"/>
      <c r="G41" s="6"/>
      <c r="H41" s="6"/>
    </row>
    <row r="42" spans="1:8" x14ac:dyDescent="0.2">
      <c r="A42" s="2"/>
      <c r="C42" s="2"/>
      <c r="F42" s="7"/>
      <c r="G42" s="7"/>
      <c r="H42" s="7"/>
    </row>
    <row r="43" spans="1:8" x14ac:dyDescent="0.2">
      <c r="A43" s="2"/>
      <c r="C43" s="2"/>
      <c r="F43" s="7"/>
      <c r="G43" s="7"/>
      <c r="H43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</vt:lpstr>
      <vt:lpstr>r = 92</vt:lpstr>
      <vt:lpstr>r=112</vt:lpstr>
      <vt:lpstr>r = 132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MR_Z</dc:creator>
  <cp:lastModifiedBy>Jarrett Cheung</cp:lastModifiedBy>
  <dcterms:created xsi:type="dcterms:W3CDTF">2015-06-05T18:17:20Z</dcterms:created>
  <dcterms:modified xsi:type="dcterms:W3CDTF">2025-03-29T03:56:08Z</dcterms:modified>
</cp:coreProperties>
</file>